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01. DOCUMENTOS_UPC\"/>
    </mc:Choice>
  </mc:AlternateContent>
  <xr:revisionPtr revIDLastSave="0" documentId="13_ncr:1_{218B3D71-3EB2-4A67-90CF-17C9174380E3}" xr6:coauthVersionLast="47" xr6:coauthVersionMax="47" xr10:uidLastSave="{00000000-0000-0000-0000-000000000000}"/>
  <bookViews>
    <workbookView xWindow="-108" yWindow="-108" windowWidth="23256" windowHeight="12576" activeTab="1" xr2:uid="{00000000-000D-0000-FFFF-FFFF00000000}"/>
  </bookViews>
  <sheets>
    <sheet name="EPICAS" sheetId="4" r:id="rId1"/>
    <sheet name="HIstoria de Usuario" sheetId="1" r:id="rId2"/>
    <sheet name="Instructivo" sheetId="2" r:id="rId3"/>
    <sheet name="Ejemplo"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 l="1"/>
  <c r="J5" i="1"/>
  <c r="J6" i="1"/>
  <c r="J3" i="1"/>
  <c r="G3" i="1"/>
  <c r="J4" i="3"/>
  <c r="J5" i="3"/>
  <c r="J6" i="3"/>
  <c r="J7" i="3"/>
  <c r="J8" i="3"/>
  <c r="J9" i="3"/>
  <c r="J10" i="3"/>
  <c r="G5" i="3"/>
  <c r="G6" i="3"/>
  <c r="G7" i="3"/>
  <c r="G8" i="3"/>
  <c r="G9" i="3"/>
  <c r="G10" i="3"/>
  <c r="G11" i="3"/>
  <c r="G12" i="3"/>
  <c r="G13" i="3"/>
  <c r="G14" i="3"/>
  <c r="G15" i="3"/>
  <c r="G16" i="3"/>
  <c r="G17" i="3"/>
  <c r="G18" i="3"/>
  <c r="G19" i="3"/>
  <c r="G20" i="3"/>
  <c r="G21" i="3"/>
  <c r="G22" i="3"/>
  <c r="G23" i="3"/>
  <c r="G24" i="3"/>
  <c r="G4" i="3"/>
</calcChain>
</file>

<file path=xl/sharedStrings.xml><?xml version="1.0" encoding="utf-8"?>
<sst xmlns="http://schemas.openxmlformats.org/spreadsheetml/2006/main" count="218" uniqueCount="98">
  <si>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</si>
  <si>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</si>
  <si>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</si>
  <si>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</si>
  <si>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</si>
  <si>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</si>
  <si>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</si>
  <si>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</si>
  <si>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</si>
  <si>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</si>
  <si>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</si>
  <si>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Como un [Rol]</t>
  </si>
  <si>
    <t>Necesito [Descripción de la Funcionalidad]</t>
  </si>
  <si>
    <t>Con la finalidad de [Descripción razón o resultado]</t>
  </si>
  <si>
    <t>[Titulo del escenario]</t>
  </si>
  <si>
    <t>En caso que [Contexto] y/ o [Contexto]</t>
  </si>
  <si>
    <t>cuando [Evento]</t>
  </si>
  <si>
    <t>el sistema [Resultado / Comportamiento]</t>
  </si>
  <si>
    <t>Instrucciones</t>
  </si>
  <si>
    <t>Identificador (ID) de la historia</t>
  </si>
  <si>
    <t>Código que identifica unívocamente a la historia en el Proyecto que se esté desarrollando. El formato debe ser elegido por el equipo.</t>
  </si>
  <si>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t>
  </si>
  <si>
    <t>Yo como cliente registrado.</t>
  </si>
  <si>
    <t>Desempeñando el rol de cliente registrado.</t>
  </si>
  <si>
    <t>Como un cliente registrado.</t>
  </si>
  <si>
    <t>Necesito realizar búsquedas de productos por categorías.</t>
  </si>
  <si>
    <t>Puedo seleccionar una categoría para ver el número de productos que tiene asociado.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</si>
  <si>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</si>
  <si>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</si>
  <si>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</si>
  <si>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</si>
  <si>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</si>
  <si>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</si>
  <si>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Columna</t>
  </si>
  <si>
    <t>Cuando se despliegue el listado de categorías a seleccionar.</t>
  </si>
  <si>
    <t>En caso que una categoría no tenga productos asociados.</t>
  </si>
  <si>
    <t>A continuación del nombre de la categoría, se mostrará entre paréntesis el siguiente texto "Sin Productos asociados".</t>
  </si>
  <si>
    <t>N/A</t>
  </si>
  <si>
    <t>El sistema mostrará las categorías en orden alfabetico.</t>
  </si>
  <si>
    <t>Identificador de Epica</t>
  </si>
  <si>
    <t>Objetivo de la Epica</t>
  </si>
  <si>
    <t>HU0001</t>
  </si>
  <si>
    <t>HU0002</t>
  </si>
  <si>
    <t>HU0003</t>
  </si>
  <si>
    <t>HU0004</t>
  </si>
  <si>
    <t>HU0005</t>
  </si>
  <si>
    <t>HU0006</t>
  </si>
  <si>
    <t>HU0007</t>
  </si>
  <si>
    <t>HU0008</t>
  </si>
  <si>
    <t>HU0009</t>
  </si>
  <si>
    <t>HU0010</t>
  </si>
  <si>
    <t>HU0011</t>
  </si>
  <si>
    <t>HU0012</t>
  </si>
  <si>
    <t>HU0013</t>
  </si>
  <si>
    <t>HU0014</t>
  </si>
  <si>
    <t>HU0015</t>
  </si>
  <si>
    <t>EPICA0001</t>
  </si>
  <si>
    <t>EPICA0002</t>
  </si>
  <si>
    <t>EPICA0003</t>
  </si>
  <si>
    <t>….........</t>
  </si>
  <si>
    <t>….............</t>
  </si>
  <si>
    <t>…............</t>
  </si>
  <si>
    <t>EPICA000n</t>
  </si>
  <si>
    <t>HU00n</t>
  </si>
  <si>
    <t>administrator</t>
  </si>
  <si>
    <r>
      <t>Necesito [</t>
    </r>
    <r>
      <rPr>
        <sz val="10"/>
        <color rgb="FFFF0000"/>
        <rFont val="Arial"/>
        <family val="2"/>
      </rPr>
      <t>opcion para Crear usuario nuevos en el sistema</t>
    </r>
    <r>
      <rPr>
        <sz val="10"/>
        <color rgb="FF000000"/>
        <rFont val="Arial"/>
        <family val="2"/>
      </rPr>
      <t>]</t>
    </r>
  </si>
  <si>
    <r>
      <rPr>
        <sz val="10"/>
        <color rgb="FFFF0000"/>
        <rFont val="Arial"/>
        <family val="2"/>
      </rPr>
      <t>Representa la función que el rol quiere o necesita hacer en el sistema que se está desarrollando</t>
    </r>
    <r>
      <rPr>
        <sz val="10"/>
        <color rgb="FF000000"/>
        <rFont val="Arial"/>
        <family val="2"/>
      </rPr>
      <t>. Puede diferenciarse entre acciones obligatorias u opcionales, utilizando la palabra puede o necesita para describir la acción. Por ejemplo:</t>
    </r>
  </si>
  <si>
    <t>Administrador</t>
  </si>
  <si>
    <t>crear nuevos usuarios en el sistema</t>
  </si>
  <si>
    <t>Con la finalidad de:</t>
  </si>
  <si>
    <t xml:space="preserve"> asignarlos a proyectos y permitirles registrar incidencias</t>
  </si>
  <si>
    <t>REDACCION</t>
  </si>
  <si>
    <t>Necesito:</t>
  </si>
  <si>
    <t>Usuario</t>
  </si>
  <si>
    <t>registrar incidencias en el sistema</t>
  </si>
  <si>
    <t>reportar problemas y hacer seguimiento a su solución</t>
  </si>
  <si>
    <t>Creación exitosa de usuario</t>
  </si>
  <si>
    <t>El administrador se encuentra en el módulo de gestión de usuarios.</t>
  </si>
  <si>
    <t>Ingresa los datos obligatorios (nombre, correo, rol) y confirma el registro.</t>
  </si>
  <si>
    <t>El sistema crea el usuario correctamente y muestra un mensaje de confirmación.</t>
  </si>
  <si>
    <t>Ya existe un usuario registrado con el mismo correo electrónico.</t>
  </si>
  <si>
    <t>Validación de correo duplicado</t>
  </si>
  <si>
    <t>El administrador intenta registrar un nuevo usuario con ese mismo correo.</t>
  </si>
  <si>
    <t>El sistema bloquea el registro y muestra un mensaje indicando que el correo ya está en uso.</t>
  </si>
  <si>
    <t>Asignación de usuario a proyecto</t>
  </si>
  <si>
    <t>El usuario ha sido creado correctamente</t>
  </si>
  <si>
    <t>El administrador selecciona uno o más proyectos para asignar al usuario.</t>
  </si>
  <si>
    <t>El sistema guarda la asignación y el usuario queda vinculado a los proyectos seleccionados.</t>
  </si>
  <si>
    <t>Acceso a registro de incidencias</t>
  </si>
  <si>
    <t>El usuario ha sido creado y asignado a un proyecto.</t>
  </si>
  <si>
    <t>El usuario inicia sesión en el sistema.</t>
  </si>
  <si>
    <t>El usuario puede acceder al módulo de registro de incidencias según su rol.</t>
  </si>
  <si>
    <t>Validación de campos obligatorios</t>
  </si>
  <si>
    <t>El administrador no completa todos los campos requeridos.</t>
  </si>
  <si>
    <t>Intenta registrar el usuario con información incompleta.</t>
  </si>
  <si>
    <t>El sistema muestra mensajes de validación indicando los campos faltantes.</t>
  </si>
  <si>
    <t>Criterio de Aceptación</t>
  </si>
  <si>
    <r>
      <t xml:space="preserve">Con la finalidad de </t>
    </r>
    <r>
      <rPr>
        <sz val="10"/>
        <color rgb="FFFF0000"/>
        <rFont val="Arial"/>
        <family val="2"/>
      </rPr>
      <t>[que los usuario se asginen a un proyecto y reporten incidencias]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</si>
</sst>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rgb="FF000000"/>
      <name val="Arial"/>
      <family val="2"/>
    </font>
    <font>
      <sz val="7"/>
      <color rgb="FF444746"/>
      <name val="Arial"/>
      <family val="2"/>
    </font>
    <font>
      <sz val="8"/>
      <color rgb="FF333333"/>
      <name val="Arial"/>
      <family val="2"/>
    </font>
    <font>
      <sz val="8"/>
      <color rgb="FF222222"/>
      <name val="Arial"/>
      <family val="2"/>
    </font>
    <font>
      <sz val="8"/>
      <name val="Calibri"/>
      <family val="2"/>
      <scheme val="minor"/>
    </font>
    <font>
      <sz val="10"/>
      <color rgb="FFFF0000"/>
      <name val="Arial"/>
      <family val="2"/>
    </font>
    <font>
      <b/>
      <sz val="11"/>
      <color theme="1"/>
      <name val="Calibri"/>
      <family val="2"/>
      <scheme val="minor"/>
    </font>
    <font>
      <sz val="10"/>
      <color theme="1"/>
      <name val="Arial"/>
      <family val="2"/>
    </font>
  </fonts>
  <fills count="7">
    <fill>
      <patternFill patternType="none"/>
    </fill>
    <fill>
      <patternFill patternType="gray125"/>
    </fill>
    <fill>
      <patternFill patternType="solid">
        <fgColor rgb="FFFFFFFF"/>
        <bgColor indexed="64"/>
      </patternFill>
    </fill>
    <fill>
      <patternFill patternType="solid">
        <fgColor rgb="FFEEEEEE"/>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9" tint="0.79998168889431442"/>
        <bgColor indexed="64"/>
      </patternFill>
    </fill>
  </fills>
  <borders count="16">
    <border>
      <left/>
      <right/>
      <top/>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right/>
      <top style="medium">
        <color rgb="FFCCCCCC"/>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0">
    <xf numFmtId="0" fontId="0" fillId="0" borderId="0" xfId="0"/>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2" borderId="3" xfId="0" applyFont="1" applyFill="1" applyBorder="1" applyAlignment="1">
      <alignment horizontal="center" vertical="center" wrapText="1"/>
    </xf>
    <xf numFmtId="0" fontId="0" fillId="0" borderId="0" xfId="0" applyAlignment="1">
      <alignment vertical="center" wrapText="1"/>
    </xf>
    <xf numFmtId="0" fontId="1" fillId="2" borderId="2" xfId="0" applyFont="1" applyFill="1" applyBorder="1" applyAlignment="1">
      <alignment horizontal="left" vertical="center" wrapText="1" readingOrder="1"/>
    </xf>
    <xf numFmtId="0" fontId="1" fillId="2" borderId="2" xfId="0" applyFont="1" applyFill="1" applyBorder="1" applyAlignment="1">
      <alignment horizontal="right" vertical="center" wrapText="1" readingOrder="1"/>
    </xf>
    <xf numFmtId="0" fontId="1" fillId="2" borderId="2" xfId="0" applyFont="1" applyFill="1" applyBorder="1" applyAlignment="1">
      <alignment horizontal="left" vertical="center" readingOrder="1"/>
    </xf>
    <xf numFmtId="0" fontId="1" fillId="2" borderId="2" xfId="0" applyFont="1" applyFill="1" applyBorder="1" applyAlignment="1">
      <alignment horizontal="center" vertical="center" wrapText="1" readingOrder="1"/>
    </xf>
    <xf numFmtId="0" fontId="0" fillId="0" borderId="0" xfId="0" applyAlignment="1">
      <alignment horizontal="center" vertical="center" wrapText="1"/>
    </xf>
    <xf numFmtId="0" fontId="1" fillId="2" borderId="2" xfId="0" applyFont="1" applyFill="1" applyBorder="1" applyAlignment="1">
      <alignment horizontal="left" vertical="center" wrapText="1" indent="2" readingOrder="1"/>
    </xf>
    <xf numFmtId="0" fontId="1" fillId="2" borderId="2" xfId="0" applyFont="1" applyFill="1" applyBorder="1" applyAlignment="1">
      <alignment horizontal="left" vertical="center" wrapText="1" readingOrder="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3" xfId="0" applyFont="1" applyFill="1" applyBorder="1" applyAlignment="1">
      <alignment horizontal="center" vertical="center" wrapText="1"/>
    </xf>
    <xf numFmtId="0" fontId="1" fillId="2" borderId="11" xfId="0" applyFont="1" applyFill="1" applyBorder="1" applyAlignment="1">
      <alignment horizontal="center" vertical="center" readingOrder="1"/>
    </xf>
    <xf numFmtId="0" fontId="1" fillId="2" borderId="12" xfId="0" applyFont="1" applyFill="1" applyBorder="1" applyAlignment="1">
      <alignment horizontal="center" vertical="center" readingOrder="1"/>
    </xf>
    <xf numFmtId="0" fontId="1" fillId="2" borderId="13" xfId="0" applyFont="1" applyFill="1" applyBorder="1" applyAlignment="1">
      <alignment horizontal="center" vertical="center" readingOrder="1"/>
    </xf>
    <xf numFmtId="0" fontId="8" fillId="4" borderId="2" xfId="0" applyFont="1" applyFill="1" applyBorder="1" applyAlignment="1">
      <alignment horizontal="center" vertical="center" wrapText="1" readingOrder="1"/>
    </xf>
    <xf numFmtId="0" fontId="8" fillId="4" borderId="2" xfId="0" applyFont="1" applyFill="1" applyBorder="1" applyAlignment="1">
      <alignment horizontal="center" vertical="center" wrapText="1" readingOrder="1"/>
    </xf>
    <xf numFmtId="0" fontId="8" fillId="5" borderId="2" xfId="0" applyFont="1" applyFill="1" applyBorder="1" applyAlignment="1">
      <alignment horizontal="center" vertical="center" wrapText="1" readingOrder="1"/>
    </xf>
    <xf numFmtId="0" fontId="0" fillId="0" borderId="0" xfId="0" applyFont="1" applyAlignment="1">
      <alignment vertical="center" wrapText="1"/>
    </xf>
    <xf numFmtId="0" fontId="8" fillId="4" borderId="5" xfId="0" applyFont="1" applyFill="1" applyBorder="1" applyAlignment="1">
      <alignment horizontal="center" vertical="center" wrapText="1" readingOrder="1"/>
    </xf>
    <xf numFmtId="0" fontId="8" fillId="4" borderId="6" xfId="0" applyFont="1" applyFill="1" applyBorder="1" applyAlignment="1">
      <alignment horizontal="center" vertical="center" wrapText="1" readingOrder="1"/>
    </xf>
    <xf numFmtId="0" fontId="8" fillId="4" borderId="7" xfId="0" applyFont="1" applyFill="1" applyBorder="1" applyAlignment="1">
      <alignment horizontal="center" vertical="center" wrapText="1" readingOrder="1"/>
    </xf>
    <xf numFmtId="0" fontId="8" fillId="5" borderId="8" xfId="0" applyFont="1" applyFill="1" applyBorder="1" applyAlignment="1">
      <alignment horizontal="center" vertical="center" wrapText="1" readingOrder="1"/>
    </xf>
    <xf numFmtId="0" fontId="8" fillId="5" borderId="9" xfId="0" applyFont="1" applyFill="1" applyBorder="1" applyAlignment="1">
      <alignment horizontal="center" vertical="center" wrapText="1" readingOrder="1"/>
    </xf>
    <xf numFmtId="0" fontId="8" fillId="5" borderId="10" xfId="0" applyFont="1" applyFill="1" applyBorder="1" applyAlignment="1">
      <alignment horizontal="center" vertical="center" wrapText="1" readingOrder="1"/>
    </xf>
    <xf numFmtId="0" fontId="8" fillId="4" borderId="8" xfId="0" applyFont="1" applyFill="1" applyBorder="1" applyAlignment="1">
      <alignment horizontal="center" vertical="center" wrapText="1" readingOrder="1"/>
    </xf>
    <xf numFmtId="0" fontId="8" fillId="4" borderId="10" xfId="0" applyFont="1" applyFill="1" applyBorder="1" applyAlignment="1">
      <alignment horizontal="center" vertical="center" wrapText="1" readingOrder="1"/>
    </xf>
    <xf numFmtId="0" fontId="0" fillId="0" borderId="2" xfId="0" applyBorder="1" applyAlignment="1">
      <alignment vertical="center" wrapText="1"/>
    </xf>
    <xf numFmtId="0" fontId="7" fillId="0" borderId="2" xfId="0" applyFont="1" applyBorder="1" applyAlignment="1">
      <alignment horizontal="right" vertical="top" wrapText="1"/>
    </xf>
    <xf numFmtId="0" fontId="0" fillId="0" borderId="2" xfId="0" applyFont="1" applyBorder="1" applyAlignment="1">
      <alignment horizontal="left" vertical="center" wrapText="1"/>
    </xf>
    <xf numFmtId="0" fontId="7" fillId="0" borderId="2" xfId="0" applyFont="1" applyBorder="1" applyAlignment="1">
      <alignment horizontal="right" vertical="center" wrapText="1"/>
    </xf>
    <xf numFmtId="0" fontId="0" fillId="0" borderId="2" xfId="0" applyBorder="1" applyAlignment="1">
      <alignment vertical="center"/>
    </xf>
    <xf numFmtId="0" fontId="0" fillId="6" borderId="2" xfId="0" applyFill="1" applyBorder="1" applyAlignment="1">
      <alignment horizontal="center" vertical="center" wrapText="1"/>
    </xf>
    <xf numFmtId="0" fontId="8" fillId="4" borderId="14" xfId="0" applyFont="1" applyFill="1" applyBorder="1" applyAlignment="1">
      <alignment horizontal="center" vertical="center" wrapText="1" readingOrder="1"/>
    </xf>
    <xf numFmtId="0" fontId="8" fillId="4" borderId="0" xfId="0" applyFont="1" applyFill="1" applyBorder="1" applyAlignment="1">
      <alignment horizontal="center" vertical="center" wrapText="1" readingOrder="1"/>
    </xf>
    <xf numFmtId="0" fontId="8" fillId="4" borderId="15" xfId="0" applyFont="1" applyFill="1" applyBorder="1" applyAlignment="1">
      <alignment horizontal="center" vertical="center" wrapText="1" readingOrder="1"/>
    </xf>
    <xf numFmtId="0" fontId="8" fillId="5" borderId="11" xfId="0" applyFont="1" applyFill="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F57BF-F95E-43A0-912C-48E7572F3222}">
  <dimension ref="B2:D22"/>
  <sheetViews>
    <sheetView workbookViewId="0">
      <selection activeCell="B2" sqref="B2:D2"/>
    </sheetView>
  </sheetViews>
  <sheetFormatPr baseColWidth="10" defaultRowHeight="14.4" x14ac:dyDescent="0.3"/>
  <cols>
    <col min="2" max="3" width="13.88671875" customWidth="1"/>
    <col min="4" max="4" width="38.77734375" customWidth="1"/>
  </cols>
  <sheetData>
    <row r="2" spans="2:4" ht="26.4" x14ac:dyDescent="0.3">
      <c r="B2" s="18" t="s">
        <v>39</v>
      </c>
      <c r="C2" s="18" t="s">
        <v>40</v>
      </c>
      <c r="D2" s="18" t="s">
        <v>2</v>
      </c>
    </row>
    <row r="3" spans="2:4" x14ac:dyDescent="0.3">
      <c r="B3" s="15" t="s">
        <v>56</v>
      </c>
      <c r="C3" s="15" t="s">
        <v>59</v>
      </c>
      <c r="D3" s="7" t="s">
        <v>41</v>
      </c>
    </row>
    <row r="4" spans="2:4" x14ac:dyDescent="0.3">
      <c r="B4" s="16"/>
      <c r="C4" s="16"/>
      <c r="D4" s="7" t="s">
        <v>42</v>
      </c>
    </row>
    <row r="5" spans="2:4" x14ac:dyDescent="0.3">
      <c r="B5" s="16"/>
      <c r="C5" s="16"/>
      <c r="D5" s="7" t="s">
        <v>43</v>
      </c>
    </row>
    <row r="6" spans="2:4" x14ac:dyDescent="0.3">
      <c r="B6" s="16"/>
      <c r="C6" s="16"/>
      <c r="D6" s="7" t="s">
        <v>44</v>
      </c>
    </row>
    <row r="7" spans="2:4" x14ac:dyDescent="0.3">
      <c r="B7" s="17"/>
      <c r="C7" s="17"/>
      <c r="D7" s="7" t="s">
        <v>45</v>
      </c>
    </row>
    <row r="8" spans="2:4" x14ac:dyDescent="0.3">
      <c r="B8" s="15" t="s">
        <v>57</v>
      </c>
      <c r="C8" s="15" t="s">
        <v>60</v>
      </c>
      <c r="D8" s="7" t="s">
        <v>46</v>
      </c>
    </row>
    <row r="9" spans="2:4" x14ac:dyDescent="0.3">
      <c r="B9" s="16"/>
      <c r="C9" s="16"/>
      <c r="D9" s="7" t="s">
        <v>47</v>
      </c>
    </row>
    <row r="10" spans="2:4" x14ac:dyDescent="0.3">
      <c r="B10" s="16"/>
      <c r="C10" s="16"/>
      <c r="D10" s="7" t="s">
        <v>48</v>
      </c>
    </row>
    <row r="11" spans="2:4" x14ac:dyDescent="0.3">
      <c r="B11" s="16"/>
      <c r="C11" s="16"/>
      <c r="D11" s="7" t="s">
        <v>49</v>
      </c>
    </row>
    <row r="12" spans="2:4" x14ac:dyDescent="0.3">
      <c r="B12" s="17"/>
      <c r="C12" s="17"/>
      <c r="D12" s="7" t="s">
        <v>50</v>
      </c>
    </row>
    <row r="13" spans="2:4" x14ac:dyDescent="0.3">
      <c r="B13" s="15" t="s">
        <v>58</v>
      </c>
      <c r="C13" s="15" t="s">
        <v>61</v>
      </c>
      <c r="D13" s="7" t="s">
        <v>51</v>
      </c>
    </row>
    <row r="14" spans="2:4" x14ac:dyDescent="0.3">
      <c r="B14" s="16"/>
      <c r="C14" s="16"/>
      <c r="D14" s="7" t="s">
        <v>52</v>
      </c>
    </row>
    <row r="15" spans="2:4" x14ac:dyDescent="0.3">
      <c r="B15" s="16"/>
      <c r="C15" s="16"/>
      <c r="D15" s="7" t="s">
        <v>53</v>
      </c>
    </row>
    <row r="16" spans="2:4" x14ac:dyDescent="0.3">
      <c r="B16" s="16"/>
      <c r="C16" s="16"/>
      <c r="D16" s="7" t="s">
        <v>54</v>
      </c>
    </row>
    <row r="17" spans="2:4" x14ac:dyDescent="0.3">
      <c r="B17" s="17"/>
      <c r="C17" s="17"/>
      <c r="D17" s="7" t="s">
        <v>55</v>
      </c>
    </row>
    <row r="18" spans="2:4" x14ac:dyDescent="0.3">
      <c r="B18" s="15" t="s">
        <v>62</v>
      </c>
      <c r="C18" s="15" t="s">
        <v>61</v>
      </c>
      <c r="D18" s="7" t="s">
        <v>63</v>
      </c>
    </row>
    <row r="19" spans="2:4" x14ac:dyDescent="0.3">
      <c r="B19" s="16"/>
      <c r="C19" s="16"/>
      <c r="D19" s="7" t="s">
        <v>63</v>
      </c>
    </row>
    <row r="20" spans="2:4" x14ac:dyDescent="0.3">
      <c r="B20" s="16"/>
      <c r="C20" s="16"/>
      <c r="D20" s="7" t="s">
        <v>63</v>
      </c>
    </row>
    <row r="21" spans="2:4" x14ac:dyDescent="0.3">
      <c r="B21" s="16"/>
      <c r="C21" s="16"/>
      <c r="D21" s="7" t="s">
        <v>63</v>
      </c>
    </row>
    <row r="22" spans="2:4" x14ac:dyDescent="0.3">
      <c r="B22" s="17"/>
      <c r="C22" s="17"/>
      <c r="D22" s="7" t="s">
        <v>63</v>
      </c>
    </row>
  </sheetData>
  <mergeCells count="8">
    <mergeCell ref="B13:B17"/>
    <mergeCell ref="C13:C17"/>
    <mergeCell ref="B18:B22"/>
    <mergeCell ref="C18:C22"/>
    <mergeCell ref="B3:B7"/>
    <mergeCell ref="C3:C7"/>
    <mergeCell ref="B8:B12"/>
    <mergeCell ref="C8:C12"/>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
  <sheetViews>
    <sheetView tabSelected="1" workbookViewId="0">
      <selection activeCell="I3" sqref="I3"/>
    </sheetView>
  </sheetViews>
  <sheetFormatPr baseColWidth="10" defaultColWidth="8.88671875" defaultRowHeight="14.4" x14ac:dyDescent="0.3"/>
  <cols>
    <col min="1" max="1" width="9.44140625" style="4" customWidth="1"/>
    <col min="2" max="2" width="12.5546875" style="4" bestFit="1" customWidth="1"/>
    <col min="3" max="3" width="8.77734375" style="4" bestFit="1" customWidth="1"/>
    <col min="4" max="4" width="16.6640625" style="4" customWidth="1"/>
    <col min="5" max="5" width="11.88671875" style="9" bestFit="1" customWidth="1"/>
    <col min="6" max="6" width="19.77734375" style="4" customWidth="1"/>
    <col min="7" max="7" width="23.44140625" style="4" customWidth="1"/>
    <col min="8" max="8" width="18.6640625" style="4" customWidth="1"/>
    <col min="9" max="9" width="21.77734375" style="4" bestFit="1" customWidth="1"/>
    <col min="10" max="10" width="14.77734375" style="4" bestFit="1" customWidth="1"/>
    <col min="11" max="11" width="8.5546875" style="4" bestFit="1" customWidth="1"/>
    <col min="12" max="12" width="7.5546875" style="4" bestFit="1" customWidth="1"/>
    <col min="13" max="13" width="22.5546875" style="4" bestFit="1" customWidth="1"/>
    <col min="14" max="16384" width="8.88671875" style="4"/>
  </cols>
  <sheetData>
    <row r="1" spans="1:13" ht="27.6" customHeight="1" x14ac:dyDescent="0.3">
      <c r="A1" s="36" t="s">
        <v>0</v>
      </c>
      <c r="B1" s="37"/>
      <c r="C1" s="37"/>
      <c r="D1" s="37"/>
      <c r="E1" s="37"/>
      <c r="F1" s="37"/>
      <c r="G1" s="37"/>
      <c r="H1" s="37"/>
      <c r="I1" s="38"/>
      <c r="J1" s="39" t="s">
        <v>1</v>
      </c>
      <c r="K1" s="39"/>
      <c r="L1" s="39"/>
      <c r="M1" s="39"/>
    </row>
    <row r="2" spans="1:13" ht="39.6" x14ac:dyDescent="0.3">
      <c r="A2" s="18" t="s">
        <v>2</v>
      </c>
      <c r="B2" s="18" t="s">
        <v>3</v>
      </c>
      <c r="C2" s="19" t="s">
        <v>4</v>
      </c>
      <c r="D2" s="19"/>
      <c r="E2" s="19" t="s">
        <v>5</v>
      </c>
      <c r="F2" s="19"/>
      <c r="G2" s="18" t="s">
        <v>71</v>
      </c>
      <c r="H2" s="28" t="s">
        <v>6</v>
      </c>
      <c r="I2" s="29"/>
      <c r="J2" s="20" t="s">
        <v>7</v>
      </c>
      <c r="K2" s="20" t="s">
        <v>8</v>
      </c>
      <c r="L2" s="20" t="s">
        <v>9</v>
      </c>
      <c r="M2" s="20" t="s">
        <v>10</v>
      </c>
    </row>
    <row r="3" spans="1:13" ht="115.2" x14ac:dyDescent="0.3">
      <c r="A3" s="5" t="s">
        <v>41</v>
      </c>
      <c r="B3" s="5" t="s">
        <v>64</v>
      </c>
      <c r="C3" s="33" t="s">
        <v>72</v>
      </c>
      <c r="D3" s="5" t="s">
        <v>65</v>
      </c>
      <c r="E3" s="33" t="s">
        <v>69</v>
      </c>
      <c r="F3" s="5" t="s">
        <v>97</v>
      </c>
      <c r="G3" s="35" t="str">
        <f>CONCATENATE("Como  ",B3," quiero ", D3," para ",F3)</f>
        <v>Como  administrator quiero Necesito [opcion para Crear usuario nuevos en el sistema] para Con la finalidad de [que los usuario se asginen a un proyecto y reporten incidencias]</v>
      </c>
      <c r="H3" s="30">
        <v>1</v>
      </c>
      <c r="I3" s="8">
        <v>1</v>
      </c>
      <c r="J3" s="32" t="str">
        <f>CONCATENATE(A3,"-",H3)</f>
        <v>HU0001-1</v>
      </c>
      <c r="K3" s="5" t="s">
        <v>15</v>
      </c>
      <c r="L3" s="5" t="s">
        <v>16</v>
      </c>
      <c r="M3" s="5" t="s">
        <v>17</v>
      </c>
    </row>
    <row r="4" spans="1:13" ht="79.2" x14ac:dyDescent="0.3">
      <c r="A4" s="5"/>
      <c r="B4" s="5"/>
      <c r="C4" s="30"/>
      <c r="D4" s="5"/>
      <c r="E4" s="5"/>
      <c r="F4" s="30"/>
      <c r="G4" s="30"/>
      <c r="H4" s="30"/>
      <c r="I4" s="8">
        <v>2</v>
      </c>
      <c r="J4" s="32" t="str">
        <f t="shared" ref="J4:J6" si="0">CONCATENATE(A4,"-",H4)</f>
        <v>-</v>
      </c>
      <c r="K4" s="5" t="s">
        <v>15</v>
      </c>
      <c r="L4" s="5" t="s">
        <v>16</v>
      </c>
      <c r="M4" s="5" t="s">
        <v>17</v>
      </c>
    </row>
    <row r="5" spans="1:13" ht="79.2" x14ac:dyDescent="0.3">
      <c r="A5" s="5"/>
      <c r="B5" s="5"/>
      <c r="C5" s="30"/>
      <c r="D5" s="5"/>
      <c r="E5" s="5"/>
      <c r="F5" s="30"/>
      <c r="G5" s="30"/>
      <c r="H5" s="30"/>
      <c r="I5" s="8">
        <v>3</v>
      </c>
      <c r="J5" s="32" t="str">
        <f t="shared" si="0"/>
        <v>-</v>
      </c>
      <c r="K5" s="5" t="s">
        <v>15</v>
      </c>
      <c r="L5" s="5" t="s">
        <v>16</v>
      </c>
      <c r="M5" s="5" t="s">
        <v>17</v>
      </c>
    </row>
    <row r="6" spans="1:13" ht="79.2" x14ac:dyDescent="0.3">
      <c r="A6" s="5"/>
      <c r="B6" s="5"/>
      <c r="C6" s="30"/>
      <c r="D6" s="5"/>
      <c r="E6" s="5"/>
      <c r="F6" s="30"/>
      <c r="G6" s="30"/>
      <c r="H6" s="30"/>
      <c r="I6" s="8">
        <v>4</v>
      </c>
      <c r="J6" s="32" t="str">
        <f t="shared" si="0"/>
        <v>-</v>
      </c>
      <c r="K6" s="5" t="s">
        <v>15</v>
      </c>
      <c r="L6" s="5" t="s">
        <v>16</v>
      </c>
      <c r="M6" s="5" t="s">
        <v>17</v>
      </c>
    </row>
    <row r="7" spans="1:13" x14ac:dyDescent="0.3">
      <c r="A7" s="5"/>
      <c r="B7" s="5"/>
      <c r="C7" s="30"/>
      <c r="D7" s="5"/>
      <c r="E7" s="5"/>
      <c r="F7" s="30"/>
      <c r="G7" s="30"/>
      <c r="H7" s="30"/>
      <c r="I7" s="8"/>
      <c r="J7" s="5"/>
      <c r="K7" s="5"/>
      <c r="L7" s="5"/>
      <c r="M7" s="5"/>
    </row>
    <row r="8" spans="1:13" ht="79.2" x14ac:dyDescent="0.3">
      <c r="A8" s="5" t="s">
        <v>42</v>
      </c>
      <c r="B8" s="5" t="s">
        <v>11</v>
      </c>
      <c r="C8" s="30"/>
      <c r="D8" s="5" t="s">
        <v>12</v>
      </c>
      <c r="E8" s="5" t="s">
        <v>13</v>
      </c>
      <c r="F8" s="30"/>
      <c r="G8" s="30"/>
      <c r="H8" s="30"/>
      <c r="I8" s="8">
        <v>1</v>
      </c>
      <c r="J8" s="5" t="s">
        <v>14</v>
      </c>
      <c r="K8" s="5" t="s">
        <v>15</v>
      </c>
      <c r="L8" s="5" t="s">
        <v>16</v>
      </c>
      <c r="M8" s="5" t="s">
        <v>17</v>
      </c>
    </row>
    <row r="9" spans="1:13" ht="79.2" x14ac:dyDescent="0.3">
      <c r="A9" s="5"/>
      <c r="B9" s="5"/>
      <c r="C9" s="30"/>
      <c r="D9" s="5"/>
      <c r="E9" s="5"/>
      <c r="F9" s="30"/>
      <c r="G9" s="30"/>
      <c r="H9" s="30"/>
      <c r="I9" s="8">
        <v>2</v>
      </c>
      <c r="J9" s="5" t="s">
        <v>14</v>
      </c>
      <c r="K9" s="5" t="s">
        <v>15</v>
      </c>
      <c r="L9" s="5" t="s">
        <v>16</v>
      </c>
      <c r="M9" s="5" t="s">
        <v>17</v>
      </c>
    </row>
    <row r="10" spans="1:13" ht="79.2" x14ac:dyDescent="0.3">
      <c r="A10" s="5"/>
      <c r="B10" s="5"/>
      <c r="C10" s="30"/>
      <c r="D10" s="5"/>
      <c r="E10" s="5"/>
      <c r="F10" s="30"/>
      <c r="G10" s="30"/>
      <c r="H10" s="30"/>
      <c r="I10" s="8">
        <v>3</v>
      </c>
      <c r="J10" s="5" t="s">
        <v>14</v>
      </c>
      <c r="K10" s="5" t="s">
        <v>15</v>
      </c>
      <c r="L10" s="5" t="s">
        <v>16</v>
      </c>
      <c r="M10" s="5" t="s">
        <v>17</v>
      </c>
    </row>
    <row r="11" spans="1:13" ht="79.2" x14ac:dyDescent="0.3">
      <c r="A11" s="5"/>
      <c r="B11" s="5"/>
      <c r="C11" s="30"/>
      <c r="D11" s="5"/>
      <c r="E11" s="5"/>
      <c r="F11" s="30"/>
      <c r="G11" s="30"/>
      <c r="H11" s="30"/>
      <c r="I11" s="8">
        <v>4</v>
      </c>
      <c r="J11" s="5" t="s">
        <v>14</v>
      </c>
      <c r="K11" s="5" t="s">
        <v>15</v>
      </c>
      <c r="L11" s="5" t="s">
        <v>16</v>
      </c>
      <c r="M11" s="5" t="s">
        <v>17</v>
      </c>
    </row>
    <row r="12" spans="1:13" x14ac:dyDescent="0.3">
      <c r="A12" s="5"/>
      <c r="B12" s="5"/>
      <c r="C12" s="30"/>
      <c r="D12" s="5"/>
      <c r="E12" s="5"/>
      <c r="F12" s="30"/>
      <c r="G12" s="30"/>
      <c r="H12" s="30"/>
      <c r="I12" s="8"/>
      <c r="J12" s="5"/>
      <c r="K12" s="5"/>
      <c r="L12" s="5"/>
      <c r="M12" s="5"/>
    </row>
    <row r="13" spans="1:13" ht="79.2" x14ac:dyDescent="0.3">
      <c r="A13" s="5" t="s">
        <v>43</v>
      </c>
      <c r="B13" s="5" t="s">
        <v>11</v>
      </c>
      <c r="C13" s="30"/>
      <c r="D13" s="5" t="s">
        <v>12</v>
      </c>
      <c r="E13" s="5" t="s">
        <v>13</v>
      </c>
      <c r="F13" s="30"/>
      <c r="G13" s="30"/>
      <c r="H13" s="30"/>
      <c r="I13" s="8">
        <v>1</v>
      </c>
      <c r="J13" s="5" t="s">
        <v>14</v>
      </c>
      <c r="K13" s="5" t="s">
        <v>15</v>
      </c>
      <c r="L13" s="5" t="s">
        <v>16</v>
      </c>
      <c r="M13" s="5" t="s">
        <v>17</v>
      </c>
    </row>
    <row r="14" spans="1:13" ht="79.2" x14ac:dyDescent="0.3">
      <c r="A14" s="5"/>
      <c r="B14" s="5"/>
      <c r="C14" s="30"/>
      <c r="D14" s="5"/>
      <c r="E14" s="5"/>
      <c r="F14" s="30"/>
      <c r="G14" s="30"/>
      <c r="H14" s="30"/>
      <c r="I14" s="8">
        <v>2</v>
      </c>
      <c r="J14" s="5" t="s">
        <v>14</v>
      </c>
      <c r="K14" s="5" t="s">
        <v>15</v>
      </c>
      <c r="L14" s="5" t="s">
        <v>16</v>
      </c>
      <c r="M14" s="5" t="s">
        <v>17</v>
      </c>
    </row>
    <row r="15" spans="1:13" ht="79.2" x14ac:dyDescent="0.3">
      <c r="A15" s="5"/>
      <c r="B15" s="5"/>
      <c r="C15" s="30"/>
      <c r="D15" s="5"/>
      <c r="E15" s="5"/>
      <c r="F15" s="30"/>
      <c r="G15" s="30"/>
      <c r="H15" s="30"/>
      <c r="I15" s="8">
        <v>3</v>
      </c>
      <c r="J15" s="5" t="s">
        <v>14</v>
      </c>
      <c r="K15" s="5" t="s">
        <v>15</v>
      </c>
      <c r="L15" s="5" t="s">
        <v>16</v>
      </c>
      <c r="M15" s="5" t="s">
        <v>17</v>
      </c>
    </row>
    <row r="16" spans="1:13" ht="79.2" x14ac:dyDescent="0.3">
      <c r="A16" s="5"/>
      <c r="B16" s="5"/>
      <c r="C16" s="30"/>
      <c r="D16" s="5"/>
      <c r="E16" s="5"/>
      <c r="F16" s="30"/>
      <c r="G16" s="30"/>
      <c r="H16" s="30"/>
      <c r="I16" s="8">
        <v>4</v>
      </c>
      <c r="J16" s="5" t="s">
        <v>14</v>
      </c>
      <c r="K16" s="5" t="s">
        <v>15</v>
      </c>
      <c r="L16" s="5" t="s">
        <v>16</v>
      </c>
      <c r="M16" s="5" t="s">
        <v>17</v>
      </c>
    </row>
    <row r="17" spans="5:9" x14ac:dyDescent="0.3">
      <c r="E17" s="4"/>
      <c r="I17" s="9"/>
    </row>
    <row r="18" spans="5:9" x14ac:dyDescent="0.3">
      <c r="E18" s="4"/>
      <c r="I18" s="9"/>
    </row>
    <row r="19" spans="5:9" x14ac:dyDescent="0.3">
      <c r="E19" s="4"/>
      <c r="I19" s="9"/>
    </row>
    <row r="20" spans="5:9" x14ac:dyDescent="0.3">
      <c r="E20" s="4"/>
      <c r="I20" s="9"/>
    </row>
    <row r="21" spans="5:9" x14ac:dyDescent="0.3">
      <c r="E21" s="4"/>
      <c r="F21" s="9"/>
    </row>
    <row r="22" spans="5:9" x14ac:dyDescent="0.3">
      <c r="E22" s="4"/>
      <c r="F22" s="9"/>
    </row>
  </sheetData>
  <mergeCells count="5">
    <mergeCell ref="E2:F2"/>
    <mergeCell ref="C2:D2"/>
    <mergeCell ref="A1:I1"/>
    <mergeCell ref="H2:I2"/>
    <mergeCell ref="J1:M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38642-C4F1-4F34-86AB-E87E16404C32}">
  <dimension ref="A1:C16"/>
  <sheetViews>
    <sheetView topLeftCell="A4" workbookViewId="0">
      <selection activeCell="C8" sqref="C8"/>
    </sheetView>
  </sheetViews>
  <sheetFormatPr baseColWidth="10" defaultRowHeight="14.4" x14ac:dyDescent="0.3"/>
  <cols>
    <col min="1" max="1" width="11.5546875" style="4"/>
    <col min="2" max="2" width="29" style="4" customWidth="1"/>
    <col min="3" max="3" width="71.5546875" style="4" customWidth="1"/>
    <col min="4" max="16384" width="11.5546875" style="4"/>
  </cols>
  <sheetData>
    <row r="1" spans="1:3" x14ac:dyDescent="0.3">
      <c r="A1" s="1"/>
      <c r="B1" s="2"/>
      <c r="C1" s="2"/>
    </row>
    <row r="2" spans="1:3" ht="15" thickBot="1" x14ac:dyDescent="0.35">
      <c r="A2" s="3"/>
      <c r="B2" s="18" t="s">
        <v>33</v>
      </c>
      <c r="C2" s="18" t="s">
        <v>18</v>
      </c>
    </row>
    <row r="3" spans="1:3" ht="27" thickBot="1" x14ac:dyDescent="0.35">
      <c r="A3" s="3"/>
      <c r="B3" s="5" t="s">
        <v>19</v>
      </c>
      <c r="C3" s="5" t="s">
        <v>20</v>
      </c>
    </row>
    <row r="4" spans="1:3" ht="52.8" x14ac:dyDescent="0.3">
      <c r="A4" s="12"/>
      <c r="B4" s="11" t="s">
        <v>3</v>
      </c>
      <c r="C4" s="5" t="s">
        <v>21</v>
      </c>
    </row>
    <row r="5" spans="1:3" x14ac:dyDescent="0.3">
      <c r="A5" s="13"/>
      <c r="B5" s="11"/>
      <c r="C5" s="10" t="s">
        <v>22</v>
      </c>
    </row>
    <row r="6" spans="1:3" x14ac:dyDescent="0.3">
      <c r="A6" s="13"/>
      <c r="B6" s="11"/>
      <c r="C6" s="10" t="s">
        <v>23</v>
      </c>
    </row>
    <row r="7" spans="1:3" ht="15" thickBot="1" x14ac:dyDescent="0.35">
      <c r="A7" s="14"/>
      <c r="B7" s="11"/>
      <c r="C7" s="10" t="s">
        <v>24</v>
      </c>
    </row>
    <row r="8" spans="1:3" ht="39.6" x14ac:dyDescent="0.3">
      <c r="A8" s="12"/>
      <c r="B8" s="11" t="s">
        <v>4</v>
      </c>
      <c r="C8" s="5" t="s">
        <v>66</v>
      </c>
    </row>
    <row r="9" spans="1:3" x14ac:dyDescent="0.3">
      <c r="A9" s="13"/>
      <c r="B9" s="11"/>
      <c r="C9" s="10" t="s">
        <v>25</v>
      </c>
    </row>
    <row r="10" spans="1:3" ht="27" thickBot="1" x14ac:dyDescent="0.35">
      <c r="A10" s="14"/>
      <c r="B10" s="11"/>
      <c r="C10" s="10" t="s">
        <v>26</v>
      </c>
    </row>
    <row r="11" spans="1:3" ht="53.4" thickBot="1" x14ac:dyDescent="0.35">
      <c r="A11" s="3"/>
      <c r="B11" s="5" t="s">
        <v>5</v>
      </c>
      <c r="C11" s="5" t="s">
        <v>27</v>
      </c>
    </row>
    <row r="12" spans="1:3" ht="15" thickBot="1" x14ac:dyDescent="0.35">
      <c r="A12" s="3"/>
      <c r="B12" s="5" t="s">
        <v>6</v>
      </c>
      <c r="C12" s="5" t="s">
        <v>28</v>
      </c>
    </row>
    <row r="13" spans="1:3" ht="40.200000000000003" thickBot="1" x14ac:dyDescent="0.35">
      <c r="A13" s="3"/>
      <c r="B13" s="5" t="s">
        <v>7</v>
      </c>
      <c r="C13" s="5" t="s">
        <v>29</v>
      </c>
    </row>
    <row r="14" spans="1:3" ht="27" thickBot="1" x14ac:dyDescent="0.35">
      <c r="A14" s="3"/>
      <c r="B14" s="5" t="s">
        <v>8</v>
      </c>
      <c r="C14" s="5" t="s">
        <v>30</v>
      </c>
    </row>
    <row r="15" spans="1:3" ht="27" thickBot="1" x14ac:dyDescent="0.35">
      <c r="A15" s="3"/>
      <c r="B15" s="5" t="s">
        <v>9</v>
      </c>
      <c r="C15" s="5" t="s">
        <v>31</v>
      </c>
    </row>
    <row r="16" spans="1:3" ht="27" thickBot="1" x14ac:dyDescent="0.35">
      <c r="A16" s="3"/>
      <c r="B16" s="5" t="s">
        <v>10</v>
      </c>
      <c r="C16" s="5" t="s">
        <v>32</v>
      </c>
    </row>
  </sheetData>
  <mergeCells count="4">
    <mergeCell ref="B8:B10"/>
    <mergeCell ref="A4:A7"/>
    <mergeCell ref="B4:B7"/>
    <mergeCell ref="A8:A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5A92E-E5FC-4F3D-BB64-4763433B11CA}">
  <dimension ref="A2:M24"/>
  <sheetViews>
    <sheetView workbookViewId="0">
      <selection activeCell="J4" sqref="J4"/>
    </sheetView>
  </sheetViews>
  <sheetFormatPr baseColWidth="10" defaultRowHeight="14.4" x14ac:dyDescent="0.3"/>
  <cols>
    <col min="1" max="1" width="20" style="4" bestFit="1" customWidth="1"/>
    <col min="2" max="2" width="12.44140625" style="4" bestFit="1" customWidth="1"/>
    <col min="3" max="3" width="8.77734375" style="4" customWidth="1"/>
    <col min="4" max="4" width="30" style="4" bestFit="1" customWidth="1"/>
    <col min="5" max="5" width="11.44140625" style="4" bestFit="1" customWidth="1"/>
    <col min="6" max="6" width="25.21875" style="4" customWidth="1"/>
    <col min="7" max="7" width="24.33203125" style="4" customWidth="1"/>
    <col min="8" max="8" width="2" style="4" bestFit="1" customWidth="1"/>
    <col min="9" max="9" width="17.21875" style="4" customWidth="1"/>
    <col min="10" max="11" width="15.88671875" style="4" customWidth="1"/>
    <col min="12" max="12" width="20.33203125" style="4" customWidth="1"/>
    <col min="13" max="13" width="29.88671875" style="4" bestFit="1" customWidth="1"/>
    <col min="14" max="14" width="98.21875" style="4" bestFit="1" customWidth="1"/>
    <col min="15" max="16384" width="11.5546875" style="4"/>
  </cols>
  <sheetData>
    <row r="2" spans="1:13" s="21" customFormat="1" x14ac:dyDescent="0.3">
      <c r="A2" s="22" t="s">
        <v>0</v>
      </c>
      <c r="B2" s="23"/>
      <c r="C2" s="23"/>
      <c r="D2" s="23"/>
      <c r="E2" s="23"/>
      <c r="F2" s="23"/>
      <c r="G2" s="23"/>
      <c r="H2" s="23"/>
      <c r="I2" s="24"/>
      <c r="J2" s="25" t="s">
        <v>1</v>
      </c>
      <c r="K2" s="26"/>
      <c r="L2" s="26"/>
      <c r="M2" s="27"/>
    </row>
    <row r="3" spans="1:13" s="21" customFormat="1" ht="26.4" x14ac:dyDescent="0.3">
      <c r="A3" s="18" t="s">
        <v>2</v>
      </c>
      <c r="B3" s="18" t="s">
        <v>3</v>
      </c>
      <c r="C3" s="28" t="s">
        <v>4</v>
      </c>
      <c r="D3" s="29"/>
      <c r="E3" s="28" t="s">
        <v>5</v>
      </c>
      <c r="F3" s="29"/>
      <c r="G3" s="18" t="s">
        <v>71</v>
      </c>
      <c r="H3" s="28" t="s">
        <v>6</v>
      </c>
      <c r="I3" s="29"/>
      <c r="J3" s="20" t="s">
        <v>96</v>
      </c>
      <c r="K3" s="20" t="s">
        <v>8</v>
      </c>
      <c r="L3" s="20" t="s">
        <v>9</v>
      </c>
      <c r="M3" s="20" t="s">
        <v>10</v>
      </c>
    </row>
    <row r="4" spans="1:13" ht="86.4" x14ac:dyDescent="0.3">
      <c r="A4" s="30" t="s">
        <v>41</v>
      </c>
      <c r="B4" s="30" t="s">
        <v>67</v>
      </c>
      <c r="C4" s="33" t="s">
        <v>72</v>
      </c>
      <c r="D4" s="32" t="s">
        <v>68</v>
      </c>
      <c r="E4" s="33" t="s">
        <v>69</v>
      </c>
      <c r="F4" s="32" t="s">
        <v>70</v>
      </c>
      <c r="G4" s="35" t="str">
        <f>CONCATENATE("Como  ",B4," quiero ", D4," para ",F4)</f>
        <v>Como  Administrador quiero crear nuevos usuarios en el sistema para  asignarlos a proyectos y permitirles registrar incidencias</v>
      </c>
      <c r="H4" s="35">
        <v>1</v>
      </c>
      <c r="I4" s="32" t="s">
        <v>76</v>
      </c>
      <c r="J4" s="32" t="str">
        <f>CONCATENATE(A4,"-",H4)</f>
        <v>HU0001-1</v>
      </c>
      <c r="K4" s="32" t="s">
        <v>77</v>
      </c>
      <c r="L4" s="32" t="s">
        <v>78</v>
      </c>
      <c r="M4" s="32" t="s">
        <v>79</v>
      </c>
    </row>
    <row r="5" spans="1:13" ht="72" x14ac:dyDescent="0.3">
      <c r="A5" s="30" t="s">
        <v>41</v>
      </c>
      <c r="B5" s="30"/>
      <c r="C5" s="33" t="s">
        <v>72</v>
      </c>
      <c r="D5" s="32"/>
      <c r="E5" s="33" t="s">
        <v>69</v>
      </c>
      <c r="F5" s="32"/>
      <c r="G5" s="35" t="str">
        <f t="shared" ref="G5:G18" si="0">CONCATENATE("Como  ",B5," quiero ", D5," para ",F5)</f>
        <v xml:space="preserve">Como   quiero  para </v>
      </c>
      <c r="H5" s="35">
        <v>2</v>
      </c>
      <c r="I5" s="32" t="s">
        <v>81</v>
      </c>
      <c r="J5" s="32" t="str">
        <f t="shared" ref="J5:J10" si="1">CONCATENATE(A5,"-",H5)</f>
        <v>HU0001-2</v>
      </c>
      <c r="K5" s="32" t="s">
        <v>80</v>
      </c>
      <c r="L5" s="32" t="s">
        <v>82</v>
      </c>
      <c r="M5" s="32" t="s">
        <v>83</v>
      </c>
    </row>
    <row r="6" spans="1:13" ht="57.6" x14ac:dyDescent="0.3">
      <c r="A6" s="30" t="s">
        <v>41</v>
      </c>
      <c r="B6" s="30"/>
      <c r="C6" s="33" t="s">
        <v>72</v>
      </c>
      <c r="D6" s="32"/>
      <c r="E6" s="33" t="s">
        <v>69</v>
      </c>
      <c r="F6" s="32"/>
      <c r="G6" s="35" t="str">
        <f t="shared" si="0"/>
        <v xml:space="preserve">Como   quiero  para </v>
      </c>
      <c r="H6" s="35">
        <v>3</v>
      </c>
      <c r="I6" s="32" t="s">
        <v>84</v>
      </c>
      <c r="J6" s="32" t="str">
        <f t="shared" si="1"/>
        <v>HU0001-3</v>
      </c>
      <c r="K6" s="32" t="s">
        <v>85</v>
      </c>
      <c r="L6" s="32" t="s">
        <v>86</v>
      </c>
      <c r="M6" s="32" t="s">
        <v>87</v>
      </c>
    </row>
    <row r="7" spans="1:13" ht="57.6" x14ac:dyDescent="0.3">
      <c r="A7" s="30" t="s">
        <v>41</v>
      </c>
      <c r="B7" s="30"/>
      <c r="C7" s="33" t="s">
        <v>72</v>
      </c>
      <c r="D7" s="32"/>
      <c r="E7" s="33" t="s">
        <v>69</v>
      </c>
      <c r="F7" s="32"/>
      <c r="G7" s="35" t="str">
        <f t="shared" si="0"/>
        <v xml:space="preserve">Como   quiero  para </v>
      </c>
      <c r="H7" s="35">
        <v>4</v>
      </c>
      <c r="I7" s="32" t="s">
        <v>88</v>
      </c>
      <c r="J7" s="32" t="str">
        <f t="shared" si="1"/>
        <v>HU0001-4</v>
      </c>
      <c r="K7" s="32" t="s">
        <v>89</v>
      </c>
      <c r="L7" s="32" t="s">
        <v>90</v>
      </c>
      <c r="M7" s="32" t="s">
        <v>91</v>
      </c>
    </row>
    <row r="8" spans="1:13" ht="57.6" x14ac:dyDescent="0.3">
      <c r="A8" s="30" t="s">
        <v>41</v>
      </c>
      <c r="B8" s="30"/>
      <c r="C8" s="33" t="s">
        <v>72</v>
      </c>
      <c r="D8" s="32"/>
      <c r="E8" s="33" t="s">
        <v>69</v>
      </c>
      <c r="F8" s="32"/>
      <c r="G8" s="35" t="str">
        <f t="shared" si="0"/>
        <v xml:space="preserve">Como   quiero  para </v>
      </c>
      <c r="H8" s="35">
        <v>5</v>
      </c>
      <c r="I8" s="32" t="s">
        <v>92</v>
      </c>
      <c r="J8" s="32" t="str">
        <f t="shared" si="1"/>
        <v>HU0001-5</v>
      </c>
      <c r="K8" s="32" t="s">
        <v>93</v>
      </c>
      <c r="L8" s="32" t="s">
        <v>94</v>
      </c>
      <c r="M8" s="32" t="s">
        <v>95</v>
      </c>
    </row>
    <row r="9" spans="1:13" ht="72" x14ac:dyDescent="0.3">
      <c r="A9" s="34" t="s">
        <v>42</v>
      </c>
      <c r="B9" s="34" t="s">
        <v>73</v>
      </c>
      <c r="C9" s="33" t="s">
        <v>72</v>
      </c>
      <c r="D9" s="34" t="s">
        <v>74</v>
      </c>
      <c r="E9" s="33" t="s">
        <v>69</v>
      </c>
      <c r="F9" s="34" t="s">
        <v>75</v>
      </c>
      <c r="G9" s="35" t="str">
        <f t="shared" si="0"/>
        <v>Como  Usuario quiero registrar incidencias en el sistema para reportar problemas y hacer seguimiento a su solución</v>
      </c>
      <c r="H9" s="35"/>
      <c r="I9" s="6">
        <v>1</v>
      </c>
      <c r="J9" s="32" t="str">
        <f t="shared" si="1"/>
        <v>HU0002-</v>
      </c>
      <c r="K9" s="5" t="s">
        <v>35</v>
      </c>
      <c r="L9" s="5" t="s">
        <v>34</v>
      </c>
      <c r="M9" s="5" t="s">
        <v>36</v>
      </c>
    </row>
    <row r="10" spans="1:13" ht="39.6" x14ac:dyDescent="0.3">
      <c r="A10" s="5"/>
      <c r="B10" s="5"/>
      <c r="C10" s="31" t="s">
        <v>72</v>
      </c>
      <c r="D10" s="5"/>
      <c r="E10" s="33" t="s">
        <v>69</v>
      </c>
      <c r="F10" s="5"/>
      <c r="G10" s="35" t="str">
        <f t="shared" si="0"/>
        <v xml:space="preserve">Como   quiero  para </v>
      </c>
      <c r="H10" s="35"/>
      <c r="I10" s="6">
        <v>3</v>
      </c>
      <c r="J10" s="32" t="str">
        <f t="shared" si="1"/>
        <v>-</v>
      </c>
      <c r="K10" s="5" t="s">
        <v>37</v>
      </c>
      <c r="L10" s="5" t="s">
        <v>34</v>
      </c>
      <c r="M10" s="5" t="s">
        <v>38</v>
      </c>
    </row>
    <row r="11" spans="1:13" ht="86.4" x14ac:dyDescent="0.3">
      <c r="A11" s="5"/>
      <c r="B11" s="30"/>
      <c r="C11" s="31" t="s">
        <v>72</v>
      </c>
      <c r="D11" s="30"/>
      <c r="E11" s="33" t="s">
        <v>69</v>
      </c>
      <c r="F11" s="30"/>
      <c r="G11" s="35" t="str">
        <f t="shared" si="0"/>
        <v xml:space="preserve">Como   quiero  para </v>
      </c>
      <c r="H11" s="35"/>
      <c r="I11" s="30"/>
      <c r="J11" s="30"/>
      <c r="K11" s="30"/>
      <c r="L11" s="30"/>
      <c r="M11" s="30"/>
    </row>
    <row r="12" spans="1:13" ht="86.4" x14ac:dyDescent="0.3">
      <c r="A12" s="30"/>
      <c r="B12" s="30"/>
      <c r="C12" s="31" t="s">
        <v>72</v>
      </c>
      <c r="D12" s="30"/>
      <c r="E12" s="33" t="s">
        <v>69</v>
      </c>
      <c r="F12" s="30"/>
      <c r="G12" s="35" t="str">
        <f t="shared" si="0"/>
        <v xml:space="preserve">Como   quiero  para </v>
      </c>
      <c r="H12" s="35"/>
      <c r="I12" s="30"/>
      <c r="J12" s="30"/>
      <c r="K12" s="30"/>
      <c r="L12" s="30"/>
      <c r="M12" s="30"/>
    </row>
    <row r="13" spans="1:13" ht="86.4" x14ac:dyDescent="0.3">
      <c r="A13" s="30"/>
      <c r="B13" s="30"/>
      <c r="C13" s="31" t="s">
        <v>72</v>
      </c>
      <c r="D13" s="30"/>
      <c r="E13" s="33" t="s">
        <v>69</v>
      </c>
      <c r="F13" s="30"/>
      <c r="G13" s="35" t="str">
        <f t="shared" si="0"/>
        <v xml:space="preserve">Como   quiero  para </v>
      </c>
      <c r="H13" s="35"/>
      <c r="I13" s="30"/>
      <c r="J13" s="30"/>
      <c r="K13" s="30"/>
      <c r="L13" s="30"/>
      <c r="M13" s="30"/>
    </row>
    <row r="14" spans="1:13" ht="86.4" x14ac:dyDescent="0.3">
      <c r="A14" s="30"/>
      <c r="B14" s="30"/>
      <c r="C14" s="31" t="s">
        <v>72</v>
      </c>
      <c r="D14" s="30"/>
      <c r="E14" s="33" t="s">
        <v>69</v>
      </c>
      <c r="F14" s="30"/>
      <c r="G14" s="35" t="str">
        <f t="shared" si="0"/>
        <v xml:space="preserve">Como   quiero  para </v>
      </c>
      <c r="H14" s="35"/>
      <c r="I14" s="30"/>
      <c r="J14" s="30"/>
      <c r="K14" s="30"/>
      <c r="L14" s="30"/>
      <c r="M14" s="30"/>
    </row>
    <row r="15" spans="1:13" ht="86.4" x14ac:dyDescent="0.3">
      <c r="A15" s="30"/>
      <c r="B15" s="30"/>
      <c r="C15" s="31" t="s">
        <v>72</v>
      </c>
      <c r="D15" s="30"/>
      <c r="E15" s="33" t="s">
        <v>69</v>
      </c>
      <c r="F15" s="30"/>
      <c r="G15" s="35" t="str">
        <f t="shared" si="0"/>
        <v xml:space="preserve">Como   quiero  para </v>
      </c>
      <c r="H15" s="35"/>
      <c r="I15" s="30"/>
      <c r="J15" s="30"/>
      <c r="K15" s="30"/>
      <c r="L15" s="30"/>
      <c r="M15" s="30"/>
    </row>
    <row r="16" spans="1:13" ht="86.4" x14ac:dyDescent="0.3">
      <c r="A16" s="30"/>
      <c r="B16" s="30"/>
      <c r="C16" s="31" t="s">
        <v>72</v>
      </c>
      <c r="D16" s="30"/>
      <c r="E16" s="33" t="s">
        <v>69</v>
      </c>
      <c r="F16" s="30"/>
      <c r="G16" s="35" t="str">
        <f t="shared" si="0"/>
        <v xml:space="preserve">Como   quiero  para </v>
      </c>
      <c r="H16" s="35"/>
      <c r="I16" s="30"/>
      <c r="J16" s="30"/>
      <c r="K16" s="30"/>
      <c r="L16" s="30"/>
      <c r="M16" s="30"/>
    </row>
    <row r="17" spans="1:13" ht="86.4" x14ac:dyDescent="0.3">
      <c r="A17" s="30"/>
      <c r="B17" s="30"/>
      <c r="C17" s="31" t="s">
        <v>72</v>
      </c>
      <c r="D17" s="30"/>
      <c r="E17" s="33" t="s">
        <v>69</v>
      </c>
      <c r="F17" s="30"/>
      <c r="G17" s="35" t="str">
        <f t="shared" si="0"/>
        <v xml:space="preserve">Como   quiero  para </v>
      </c>
      <c r="H17" s="35"/>
      <c r="I17" s="30"/>
      <c r="J17" s="30"/>
      <c r="K17" s="30"/>
      <c r="L17" s="30"/>
      <c r="M17" s="30"/>
    </row>
    <row r="18" spans="1:13" ht="86.4" x14ac:dyDescent="0.3">
      <c r="A18" s="30"/>
      <c r="B18" s="30"/>
      <c r="C18" s="31" t="s">
        <v>72</v>
      </c>
      <c r="D18" s="30"/>
      <c r="E18" s="33" t="s">
        <v>69</v>
      </c>
      <c r="F18" s="30"/>
      <c r="G18" s="35" t="str">
        <f t="shared" si="0"/>
        <v xml:space="preserve">Como   quiero  para </v>
      </c>
      <c r="H18" s="35"/>
      <c r="I18" s="30"/>
      <c r="J18" s="30"/>
      <c r="K18" s="30"/>
      <c r="L18" s="30"/>
      <c r="M18" s="30"/>
    </row>
    <row r="19" spans="1:13" ht="28.8" x14ac:dyDescent="0.3">
      <c r="A19" s="30"/>
      <c r="B19" s="30"/>
      <c r="C19" s="31" t="s">
        <v>72</v>
      </c>
      <c r="D19" s="30"/>
      <c r="E19" s="31" t="s">
        <v>69</v>
      </c>
      <c r="F19" s="30"/>
      <c r="G19" s="35" t="str">
        <f t="shared" ref="G10:G24" si="2">CONCATENATE("Como  ",B19," quiero ", D19," para ",F19)</f>
        <v xml:space="preserve">Como   quiero  para </v>
      </c>
      <c r="H19" s="35"/>
      <c r="I19" s="30"/>
      <c r="J19" s="30"/>
      <c r="K19" s="30"/>
      <c r="L19" s="30"/>
      <c r="M19" s="30"/>
    </row>
    <row r="20" spans="1:13" ht="28.8" x14ac:dyDescent="0.3">
      <c r="A20" s="30"/>
      <c r="B20" s="30"/>
      <c r="C20" s="31" t="s">
        <v>72</v>
      </c>
      <c r="D20" s="30"/>
      <c r="E20" s="31" t="s">
        <v>69</v>
      </c>
      <c r="F20" s="30"/>
      <c r="G20" s="35" t="str">
        <f t="shared" si="2"/>
        <v xml:space="preserve">Como   quiero  para </v>
      </c>
      <c r="H20" s="35"/>
      <c r="I20" s="30"/>
      <c r="J20" s="30"/>
      <c r="K20" s="30"/>
      <c r="L20" s="30"/>
      <c r="M20" s="30"/>
    </row>
    <row r="21" spans="1:13" ht="28.8" x14ac:dyDescent="0.3">
      <c r="A21" s="30"/>
      <c r="B21" s="30"/>
      <c r="C21" s="31" t="s">
        <v>72</v>
      </c>
      <c r="D21" s="30"/>
      <c r="E21" s="31" t="s">
        <v>69</v>
      </c>
      <c r="F21" s="30"/>
      <c r="G21" s="35" t="str">
        <f t="shared" si="2"/>
        <v xml:space="preserve">Como   quiero  para </v>
      </c>
      <c r="H21" s="35"/>
      <c r="I21" s="30"/>
      <c r="J21" s="30"/>
      <c r="K21" s="30"/>
      <c r="L21" s="30"/>
      <c r="M21" s="30"/>
    </row>
    <row r="22" spans="1:13" ht="28.8" x14ac:dyDescent="0.3">
      <c r="A22" s="30"/>
      <c r="B22" s="30"/>
      <c r="C22" s="31" t="s">
        <v>72</v>
      </c>
      <c r="D22" s="30"/>
      <c r="E22" s="31" t="s">
        <v>69</v>
      </c>
      <c r="F22" s="30"/>
      <c r="G22" s="35" t="str">
        <f t="shared" si="2"/>
        <v xml:space="preserve">Como   quiero  para </v>
      </c>
      <c r="H22" s="35"/>
      <c r="I22" s="30"/>
      <c r="J22" s="30"/>
      <c r="K22" s="30"/>
      <c r="L22" s="30"/>
      <c r="M22" s="30"/>
    </row>
    <row r="23" spans="1:13" ht="28.8" x14ac:dyDescent="0.3">
      <c r="A23" s="30"/>
      <c r="B23" s="30"/>
      <c r="C23" s="31" t="s">
        <v>72</v>
      </c>
      <c r="D23" s="30"/>
      <c r="E23" s="31" t="s">
        <v>69</v>
      </c>
      <c r="F23" s="30"/>
      <c r="G23" s="35" t="str">
        <f t="shared" si="2"/>
        <v xml:space="preserve">Como   quiero  para </v>
      </c>
      <c r="H23" s="35"/>
      <c r="I23" s="30"/>
      <c r="J23" s="30"/>
      <c r="K23" s="30"/>
      <c r="L23" s="30"/>
      <c r="M23" s="30"/>
    </row>
    <row r="24" spans="1:13" ht="28.8" x14ac:dyDescent="0.3">
      <c r="A24" s="30"/>
      <c r="B24" s="30"/>
      <c r="C24" s="31" t="s">
        <v>72</v>
      </c>
      <c r="D24" s="30"/>
      <c r="E24" s="31" t="s">
        <v>69</v>
      </c>
      <c r="F24" s="30"/>
      <c r="G24" s="35" t="str">
        <f t="shared" si="2"/>
        <v xml:space="preserve">Como   quiero  para </v>
      </c>
      <c r="H24" s="35"/>
      <c r="I24" s="30"/>
      <c r="J24" s="30"/>
      <c r="K24" s="30"/>
      <c r="L24" s="30"/>
      <c r="M24" s="30"/>
    </row>
  </sheetData>
  <mergeCells count="5">
    <mergeCell ref="A2:I2"/>
    <mergeCell ref="J2:M2"/>
    <mergeCell ref="C3:D3"/>
    <mergeCell ref="E3:F3"/>
    <mergeCell ref="H3:I3"/>
  </mergeCells>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B2CE0CA36E954FA213ED12040B44F1" ma:contentTypeVersion="18" ma:contentTypeDescription="Create a new document." ma:contentTypeScope="" ma:versionID="9035708ad81cc3125a5dfd8c33363f2c">
  <xsd:schema xmlns:xsd="http://www.w3.org/2001/XMLSchema" xmlns:xs="http://www.w3.org/2001/XMLSchema" xmlns:p="http://schemas.microsoft.com/office/2006/metadata/properties" xmlns:ns2="04635621-dc1a-449d-9263-379ef1e0c7af" xmlns:ns3="e7552d2f-a9ff-49a3-97e8-b15d4d12b8a4" targetNamespace="http://schemas.microsoft.com/office/2006/metadata/properties" ma:root="true" ma:fieldsID="cb0f48b66480afc1b308a41231dec822" ns2:_="" ns3:_="">
    <xsd:import namespace="04635621-dc1a-449d-9263-379ef1e0c7af"/>
    <xsd:import namespace="e7552d2f-a9ff-49a3-97e8-b15d4d12b8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EventHashCode" minOccurs="0"/>
                <xsd:element ref="ns2:MediaServiceGenerationTim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635621-dc1a-449d-9263-379ef1e0c7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5d0804c-76fa-410a-9782-953cf5ffadf5" ma:termSetId="09814cd3-568e-fe90-9814-8d621ff8fb84" ma:anchorId="fba54fb3-c3e1-fe81-a776-ca4b69148c4d" ma:open="true" ma:isKeyword="false">
      <xsd:complexType>
        <xsd:sequence>
          <xsd:element ref="pc:Terms" minOccurs="0" maxOccurs="1"/>
        </xsd:sequence>
      </xsd:complexType>
    </xsd:element>
    <xsd:element name="MediaLengthInSeconds" ma:index="24" nillable="true" ma:displayName="MediaLengthInSeconds" ma:hidden="true" ma:internalName="MediaLengthInSeconds" ma:readOnly="true">
      <xsd:simpleType>
        <xsd:restriction base="dms:Unknow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552d2f-a9ff-49a3-97e8-b15d4d12b8a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c6f13ef-273a-4ee6-a3ee-64d8e73046b9}" ma:internalName="TaxCatchAll" ma:showField="CatchAllData" ma:web="e7552d2f-a9ff-49a3-97e8-b15d4d12b8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552d2f-a9ff-49a3-97e8-b15d4d12b8a4" xsi:nil="true"/>
    <lcf76f155ced4ddcb4097134ff3c332f xmlns="04635621-dc1a-449d-9263-379ef1e0c7a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B7CE3F5-A47A-44E6-9C36-E38A45892BB1}"/>
</file>

<file path=customXml/itemProps2.xml><?xml version="1.0" encoding="utf-8"?>
<ds:datastoreItem xmlns:ds="http://schemas.openxmlformats.org/officeDocument/2006/customXml" ds:itemID="{C7C19033-493C-40B8-A4D8-746DC5EA6636}"/>
</file>

<file path=customXml/itemProps3.xml><?xml version="1.0" encoding="utf-8"?>
<ds:datastoreItem xmlns:ds="http://schemas.openxmlformats.org/officeDocument/2006/customXml" ds:itemID="{6BAB44EA-F4D9-439B-9AA0-203C66B60C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EPICAS</vt:lpstr>
      <vt:lpstr>HIstoria de Usuario</vt:lpstr>
      <vt:lpstr>Instructivo</vt:lpstr>
      <vt:lpstr>Ejemplo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Rubén Cerda</dc:creator>
  <cp:lastModifiedBy>pcsircer (Cerda Garcia, Ruben Oscar)</cp:lastModifiedBy>
  <dcterms:created xsi:type="dcterms:W3CDTF">2015-06-05T18:19:34Z</dcterms:created>
  <dcterms:modified xsi:type="dcterms:W3CDTF">2026-04-12T18:31:44Z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0x0101003EB2CE0CA36E954FA213ED12040B44F1</vt:lpwstr>
  </property>
</Properties>
</file>